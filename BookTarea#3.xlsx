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adria\Documents\1.Universidad\Analisis de Algoritmos\"/>
    </mc:Choice>
  </mc:AlternateContent>
  <xr:revisionPtr revIDLastSave="0" documentId="8_{1E37B066-5AC5-4517-9C15-B156C8F8EB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ertionSort" sheetId="1" r:id="rId1"/>
    <sheet name="SelectionSort" sheetId="2" r:id="rId2"/>
    <sheet name="BubbleSort" sheetId="9" r:id="rId3"/>
    <sheet name="MergeSort" sheetId="11" r:id="rId4"/>
    <sheet name="HeapSort" sheetId="10" r:id="rId5"/>
    <sheet name="QuickSort" sheetId="8" r:id="rId6"/>
    <sheet name="Comparacion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1" l="1"/>
  <c r="G10" i="11"/>
  <c r="C10" i="11"/>
  <c r="E10" i="8"/>
  <c r="G10" i="8"/>
  <c r="C10" i="8"/>
  <c r="E10" i="10"/>
  <c r="G10" i="10"/>
  <c r="C10" i="10"/>
  <c r="E10" i="2"/>
  <c r="G10" i="2"/>
  <c r="C10" i="2"/>
  <c r="E10" i="9"/>
  <c r="G10" i="9"/>
  <c r="C10" i="9"/>
  <c r="C10" i="1"/>
  <c r="E10" i="1"/>
  <c r="G10" i="1"/>
</calcChain>
</file>

<file path=xl/sharedStrings.xml><?xml version="1.0" encoding="utf-8"?>
<sst xmlns="http://schemas.openxmlformats.org/spreadsheetml/2006/main" count="41" uniqueCount="13">
  <si>
    <t>Arreglo Pequeño (100,000)</t>
  </si>
  <si>
    <t>Arreglo Mediano (750,000)</t>
  </si>
  <si>
    <t>Arreglo grande (3,000,000)</t>
  </si>
  <si>
    <t>InsertionSort</t>
  </si>
  <si>
    <t>Selection Sort</t>
  </si>
  <si>
    <t>SelectionSort</t>
  </si>
  <si>
    <t>BubbleSort</t>
  </si>
  <si>
    <t>MergeSort</t>
  </si>
  <si>
    <t>HeapSort</t>
  </si>
  <si>
    <t>QuickSort</t>
  </si>
  <si>
    <t>Arreglo Pequeño</t>
  </si>
  <si>
    <t>Arreglo Mediano</t>
  </si>
  <si>
    <t>Arreglo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</si>
</sst>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8" xfId="0" applyFont="1" applyBorder="1"/>
    <xf numFmtId="0" fontId="1" fillId="0" borderId="9" xfId="0" applyFont="1" applyBorder="1"/>
    <xf numFmtId="20" fontId="0" fillId="0" borderId="0" xfId="0" applyNumberFormat="1"/>
    <xf numFmtId="0" fontId="0" fillId="0" borderId="17" xfId="0" applyBorder="1"/>
    <xf numFmtId="0" fontId="0" fillId="0" borderId="19" xfId="0" applyBorder="1"/>
    <xf numFmtId="0" fontId="1" fillId="0" borderId="17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0" fillId="0" borderId="32" xfId="0" applyBorder="1"/>
    <xf numFmtId="0" fontId="1" fillId="0" borderId="0" xfId="0" applyFont="1"/>
    <xf numFmtId="0" fontId="1" fillId="0" borderId="33" xfId="0" applyFont="1" applyBorder="1"/>
    <xf numFmtId="0" fontId="1" fillId="0" borderId="34" xfId="0" applyFont="1" applyBorder="1"/>
    <xf numFmtId="0" fontId="0" fillId="0" borderId="14" xfId="0" applyBorder="1"/>
    <xf numFmtId="0" fontId="0" fillId="0" borderId="3" xfId="0" applyBorder="1"/>
    <xf numFmtId="0" fontId="0" fillId="0" borderId="13" xfId="0" applyBorder="1"/>
    <xf numFmtId="0" fontId="0" fillId="0" borderId="6" xfId="0" applyBorder="1"/>
    <xf numFmtId="0" fontId="0" fillId="0" borderId="2" xfId="0" applyBorder="1"/>
    <xf numFmtId="0" fontId="0" fillId="0" borderId="1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4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1" fillId="0" borderId="4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QuickSort!$C$3</c:f>
              <c:strCache>
                <c:ptCount val="1"/>
                <c:pt idx="0">
                  <c:v>Arreglo Pequeño (100,000)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QuickSort!$B$5:$B$9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QuickSort!$C$5:$C$9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7A-4548-BC68-41888AEA04A4}"/>
            </c:ext>
          </c:extLst>
        </c:ser>
        <c:ser>
          <c:idx val="2"/>
          <c:order val="2"/>
          <c:tx>
            <c:strRef>
              <c:f>QuickSort!$E$3</c:f>
              <c:strCache>
                <c:ptCount val="1"/>
                <c:pt idx="0">
                  <c:v>Arreglo Mediano (750,000)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QuickSort!$B$5:$B$9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QuickSort!$E$5:$E$9</c:f>
              <c:numCache>
                <c:formatCode>General</c:formatCode>
                <c:ptCount val="5"/>
                <c:pt idx="0">
                  <c:v>63</c:v>
                </c:pt>
                <c:pt idx="1">
                  <c:v>63</c:v>
                </c:pt>
                <c:pt idx="2">
                  <c:v>61</c:v>
                </c:pt>
                <c:pt idx="3">
                  <c:v>58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7A-4548-BC68-41888AEA04A4}"/>
            </c:ext>
          </c:extLst>
        </c:ser>
        <c:ser>
          <c:idx val="4"/>
          <c:order val="4"/>
          <c:tx>
            <c:strRef>
              <c:f>QuickSort!$G$3</c:f>
              <c:strCache>
                <c:ptCount val="1"/>
                <c:pt idx="0">
                  <c:v>Arreglo grande (3,000,000)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QuickSort!$B$5:$B$9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QuickSort!$G$5:$G$9</c:f>
              <c:numCache>
                <c:formatCode>General</c:formatCode>
                <c:ptCount val="5"/>
                <c:pt idx="0">
                  <c:v>260</c:v>
                </c:pt>
                <c:pt idx="1">
                  <c:v>248</c:v>
                </c:pt>
                <c:pt idx="2">
                  <c:v>253</c:v>
                </c:pt>
                <c:pt idx="3">
                  <c:v>259</c:v>
                </c:pt>
                <c:pt idx="4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7A-4548-BC68-41888AEA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830432"/>
        <c:axId val="11308313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QuickSort!$D$3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QuickSort!$B$5:$B$9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QuickSort!$D$5:$D$9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B7A-4548-BC68-41888AEA04A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QuickSort!$F$3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QuickSort!$F$5:$F$9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B7A-4548-BC68-41888AEA04A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QuickSort!$H$3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QuickSort!$H$5:$H$9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B7A-4548-BC68-41888AEA04A4}"/>
                  </c:ext>
                </c:extLst>
              </c15:ser>
            </c15:filteredLineSeries>
          </c:ext>
        </c:extLst>
      </c:lineChart>
      <c:catAx>
        <c:axId val="113083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31392"/>
        <c:crosses val="autoZero"/>
        <c:auto val="1"/>
        <c:lblAlgn val="ctr"/>
        <c:lblOffset val="100"/>
        <c:noMultiLvlLbl val="0"/>
      </c:catAx>
      <c:valAx>
        <c:axId val="113083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3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Insetopn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InsertionSort!$C$3</c:f>
              <c:strCache>
                <c:ptCount val="1"/>
                <c:pt idx="0">
                  <c:v>Arreglo Pequeño (100,000)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InsertionSort!$B$5:$B$9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InsertionSort!$C$5:$C$9</c:f>
              <c:numCache>
                <c:formatCode>General</c:formatCode>
                <c:ptCount val="5"/>
                <c:pt idx="0">
                  <c:v>1142</c:v>
                </c:pt>
                <c:pt idx="1">
                  <c:v>1101</c:v>
                </c:pt>
                <c:pt idx="2">
                  <c:v>1151</c:v>
                </c:pt>
                <c:pt idx="3">
                  <c:v>1146</c:v>
                </c:pt>
                <c:pt idx="4">
                  <c:v>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D7-46E8-BC0A-ABC54DEE7A1F}"/>
            </c:ext>
          </c:extLst>
        </c:ser>
        <c:ser>
          <c:idx val="2"/>
          <c:order val="2"/>
          <c:tx>
            <c:strRef>
              <c:f>InsertionSort!$E$3</c:f>
              <c:strCache>
                <c:ptCount val="1"/>
                <c:pt idx="0">
                  <c:v>Arreglo Mediano (750,000)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InsertionSort!$B$5:$B$9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InsertionSort!$E$5:$E$9</c:f>
              <c:numCache>
                <c:formatCode>General</c:formatCode>
                <c:ptCount val="5"/>
                <c:pt idx="0">
                  <c:v>101024</c:v>
                </c:pt>
                <c:pt idx="1">
                  <c:v>73327</c:v>
                </c:pt>
                <c:pt idx="2">
                  <c:v>67644</c:v>
                </c:pt>
                <c:pt idx="3">
                  <c:v>69669</c:v>
                </c:pt>
                <c:pt idx="4">
                  <c:v>70409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7-46E8-BC0A-ABC54DEE7A1F}"/>
            </c:ext>
          </c:extLst>
        </c:ser>
        <c:ser>
          <c:idx val="4"/>
          <c:order val="4"/>
          <c:tx>
            <c:strRef>
              <c:f>InsertionSort!$G$3</c:f>
              <c:strCache>
                <c:ptCount val="1"/>
                <c:pt idx="0">
                  <c:v>Arreglo grande (3,000,000)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InsertionSort!$B$5:$B$9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InsertionSort!$G$5:$G$9</c:f>
              <c:numCache>
                <c:formatCode>General</c:formatCode>
                <c:ptCount val="5"/>
                <c:pt idx="0">
                  <c:v>393328</c:v>
                </c:pt>
                <c:pt idx="1">
                  <c:v>387522</c:v>
                </c:pt>
                <c:pt idx="2">
                  <c:v>395238</c:v>
                </c:pt>
                <c:pt idx="3">
                  <c:v>358893</c:v>
                </c:pt>
                <c:pt idx="4">
                  <c:v>380514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D7-46E8-BC0A-ABC54DEE7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0359840"/>
        <c:axId val="107035744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InsertionSort!$D$3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InsertionSort!$B$5:$B$9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InsertionSort!$D$5:$D$9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5D7-46E8-BC0A-ABC54DEE7A1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InsertionSort!$F$3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InsertionSort!$B$5:$B$9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InsertionSort!$F$5:$F$9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5D7-46E8-BC0A-ABC54DEE7A1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InsertionSort!$H$3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InsertionSort!$B$5:$B$9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InsertionSort!$H$5:$H$9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5D7-46E8-BC0A-ABC54DEE7A1F}"/>
                  </c:ext>
                </c:extLst>
              </c15:ser>
            </c15:filteredLineSeries>
          </c:ext>
        </c:extLst>
      </c:lineChart>
      <c:catAx>
        <c:axId val="10703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57440"/>
        <c:crosses val="autoZero"/>
        <c:auto val="1"/>
        <c:lblAlgn val="ctr"/>
        <c:lblOffset val="100"/>
        <c:noMultiLvlLbl val="0"/>
      </c:catAx>
      <c:valAx>
        <c:axId val="107035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5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SelectionSort!$C$3</c:f>
              <c:strCache>
                <c:ptCount val="1"/>
                <c:pt idx="0">
                  <c:v>Arreglo Pequeño (100,000)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SelectionSort!$B$5:$B$9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SelectionSort!$C$5:$C$9</c:f>
              <c:numCache>
                <c:formatCode>General</c:formatCode>
                <c:ptCount val="5"/>
                <c:pt idx="0">
                  <c:v>2066</c:v>
                </c:pt>
                <c:pt idx="1">
                  <c:v>2275</c:v>
                </c:pt>
                <c:pt idx="2">
                  <c:v>2123</c:v>
                </c:pt>
                <c:pt idx="3">
                  <c:v>2167</c:v>
                </c:pt>
                <c:pt idx="4">
                  <c:v>2108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19-404A-A8D8-571F0643E428}"/>
            </c:ext>
          </c:extLst>
        </c:ser>
        <c:ser>
          <c:idx val="2"/>
          <c:order val="2"/>
          <c:tx>
            <c:strRef>
              <c:f>SelectionSort!$E$3</c:f>
              <c:strCache>
                <c:ptCount val="1"/>
                <c:pt idx="0">
                  <c:v>Arreglo Mediano (750,000)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SelectionSort!$B$5:$B$9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SelectionSort!$E$5:$E$9</c:f>
              <c:numCache>
                <c:formatCode>General</c:formatCode>
                <c:ptCount val="5"/>
                <c:pt idx="0">
                  <c:v>78525</c:v>
                </c:pt>
                <c:pt idx="1">
                  <c:v>77750</c:v>
                </c:pt>
                <c:pt idx="2">
                  <c:v>71755</c:v>
                </c:pt>
                <c:pt idx="3">
                  <c:v>87609</c:v>
                </c:pt>
                <c:pt idx="4">
                  <c:v>123558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19-404A-A8D8-571F0643E428}"/>
            </c:ext>
          </c:extLst>
        </c:ser>
        <c:ser>
          <c:idx val="4"/>
          <c:order val="4"/>
          <c:tx>
            <c:strRef>
              <c:f>SelectionSort!$G$3</c:f>
              <c:strCache>
                <c:ptCount val="1"/>
                <c:pt idx="0">
                  <c:v>Arreglo grande (3,000,000)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SelectionSort!$B$5:$B$9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SelectionSort!$G$5:$G$9</c:f>
              <c:numCache>
                <c:formatCode>General</c:formatCode>
                <c:ptCount val="5"/>
                <c:pt idx="0">
                  <c:v>1332837</c:v>
                </c:pt>
                <c:pt idx="1">
                  <c:v>1319535</c:v>
                </c:pt>
                <c:pt idx="2">
                  <c:v>1365814</c:v>
                </c:pt>
                <c:pt idx="3">
                  <c:v>1325638</c:v>
                </c:pt>
                <c:pt idx="4">
                  <c:v>1346125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19-404A-A8D8-571F0643E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0505520"/>
        <c:axId val="10705045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SelectionSort!$D$3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SelectionSort!$B$5:$B$9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SelectionSort!$D$5:$D$9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A19-404A-A8D8-571F0643E42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SelectionSort!$F$3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SelectionSort!$F$5:$F$9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A19-404A-A8D8-571F0643E4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SelectionSort!$H$3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SelectionSort!$H$5:$H$9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A19-404A-A8D8-571F0643E428}"/>
                  </c:ext>
                </c:extLst>
              </c15:ser>
            </c15:filteredLineSeries>
          </c:ext>
        </c:extLst>
      </c:lineChart>
      <c:catAx>
        <c:axId val="107050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04560"/>
        <c:crosses val="autoZero"/>
        <c:auto val="1"/>
        <c:lblAlgn val="ctr"/>
        <c:lblOffset val="100"/>
        <c:noMultiLvlLbl val="0"/>
      </c:catAx>
      <c:valAx>
        <c:axId val="107050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0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BubbleSort!$C$3</c:f>
              <c:strCache>
                <c:ptCount val="1"/>
                <c:pt idx="0">
                  <c:v>Arreglo Pequeño (100,000)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BubbleSort!$C$5:$C$9</c:f>
              <c:numCache>
                <c:formatCode>General</c:formatCode>
                <c:ptCount val="5"/>
                <c:pt idx="0">
                  <c:v>10776</c:v>
                </c:pt>
                <c:pt idx="1">
                  <c:v>10684</c:v>
                </c:pt>
                <c:pt idx="2">
                  <c:v>10753</c:v>
                </c:pt>
                <c:pt idx="3">
                  <c:v>10835</c:v>
                </c:pt>
                <c:pt idx="4">
                  <c:v>10942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5-467D-941F-624751717384}"/>
            </c:ext>
          </c:extLst>
        </c:ser>
        <c:ser>
          <c:idx val="2"/>
          <c:order val="2"/>
          <c:tx>
            <c:strRef>
              <c:f>BubbleSort!$E$3</c:f>
              <c:strCache>
                <c:ptCount val="1"/>
                <c:pt idx="0">
                  <c:v>Arreglo Mediano (750,000)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BubbleSort!$B$5:$B$9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BubbleSort!$E$5:$E$9</c:f>
              <c:numCache>
                <c:formatCode>General</c:formatCode>
                <c:ptCount val="5"/>
                <c:pt idx="0">
                  <c:v>639875</c:v>
                </c:pt>
                <c:pt idx="1">
                  <c:v>754163</c:v>
                </c:pt>
                <c:pt idx="2">
                  <c:v>612154</c:v>
                </c:pt>
                <c:pt idx="3">
                  <c:v>639438</c:v>
                </c:pt>
                <c:pt idx="4">
                  <c:v>731132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5-467D-941F-624751717384}"/>
            </c:ext>
          </c:extLst>
        </c:ser>
        <c:ser>
          <c:idx val="4"/>
          <c:order val="4"/>
          <c:tx>
            <c:strRef>
              <c:f>BubbleSort!$G$3</c:f>
              <c:strCache>
                <c:ptCount val="1"/>
                <c:pt idx="0">
                  <c:v>Arreglo grande (3,000,000)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BubbleSort!$B$5:$B$9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BubbleSort!$G$5:$G$9</c:f>
              <c:numCache>
                <c:formatCode>General</c:formatCode>
                <c:ptCount val="5"/>
                <c:pt idx="0">
                  <c:v>9443752</c:v>
                </c:pt>
                <c:pt idx="1">
                  <c:v>9446453</c:v>
                </c:pt>
                <c:pt idx="2">
                  <c:v>9543875</c:v>
                </c:pt>
                <c:pt idx="3">
                  <c:v>9439872</c:v>
                </c:pt>
                <c:pt idx="4">
                  <c:v>9354867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85-467D-941F-624751717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652336"/>
        <c:axId val="112064801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BubbleSort!$D$3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BubbleSort!$B$5:$B$9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BubbleSort!$D$5:$D$9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85-467D-941F-62475171738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BubbleSort!$F$3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BubbleSort!$B$5:$B$9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BubbleSort!$F$5:$F$9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85-467D-941F-62475171738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BubbleSort!$H$3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BubbleSort!$B$5:$B$9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BubbleSort!$H$5:$H$9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85-467D-941F-624751717384}"/>
                  </c:ext>
                </c:extLst>
              </c15:ser>
            </c15:filteredLineSeries>
          </c:ext>
        </c:extLst>
      </c:lineChart>
      <c:catAx>
        <c:axId val="112065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48016"/>
        <c:crosses val="autoZero"/>
        <c:auto val="1"/>
        <c:lblAlgn val="ctr"/>
        <c:lblOffset val="100"/>
        <c:noMultiLvlLbl val="0"/>
      </c:catAx>
      <c:valAx>
        <c:axId val="112064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5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MergeSort!$C$3</c:f>
              <c:strCache>
                <c:ptCount val="1"/>
                <c:pt idx="0">
                  <c:v>Arreglo Pequeño (100,000)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MergeSort!$B$5:$B$9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MergeSort!$C$5:$C$9</c:f>
              <c:numCache>
                <c:formatCode>General</c:formatCode>
                <c:ptCount val="5"/>
                <c:pt idx="0">
                  <c:v>12</c:v>
                </c:pt>
                <c:pt idx="1">
                  <c:v>16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8-433D-A884-6D6E2601AE0C}"/>
            </c:ext>
          </c:extLst>
        </c:ser>
        <c:ser>
          <c:idx val="2"/>
          <c:order val="2"/>
          <c:tx>
            <c:strRef>
              <c:f>MergeSort!$E$3</c:f>
              <c:strCache>
                <c:ptCount val="1"/>
                <c:pt idx="0">
                  <c:v>Arreglo Mediano (750,000)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MergeSort!$B$5:$B$9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MergeSort!$E$5:$E$9</c:f>
              <c:numCache>
                <c:formatCode>General</c:formatCode>
                <c:ptCount val="5"/>
                <c:pt idx="0">
                  <c:v>74</c:v>
                </c:pt>
                <c:pt idx="1">
                  <c:v>105</c:v>
                </c:pt>
                <c:pt idx="2">
                  <c:v>101</c:v>
                </c:pt>
                <c:pt idx="3">
                  <c:v>105</c:v>
                </c:pt>
                <c:pt idx="4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28-433D-A884-6D6E2601AE0C}"/>
            </c:ext>
          </c:extLst>
        </c:ser>
        <c:ser>
          <c:idx val="4"/>
          <c:order val="4"/>
          <c:tx>
            <c:strRef>
              <c:f>MergeSort!$G$3</c:f>
              <c:strCache>
                <c:ptCount val="1"/>
                <c:pt idx="0">
                  <c:v>Arreglo grande (3,000,000)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MergeSort!$B$5:$B$9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MergeSort!$G$5:$G$9</c:f>
              <c:numCache>
                <c:formatCode>General</c:formatCode>
                <c:ptCount val="5"/>
                <c:pt idx="0">
                  <c:v>303</c:v>
                </c:pt>
                <c:pt idx="1">
                  <c:v>467</c:v>
                </c:pt>
                <c:pt idx="2">
                  <c:v>381</c:v>
                </c:pt>
                <c:pt idx="3">
                  <c:v>396</c:v>
                </c:pt>
                <c:pt idx="4">
                  <c:v>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28-433D-A884-6D6E2601A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677264"/>
        <c:axId val="112566430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MergeSort!$D$3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MergeSort!$B$5:$B$9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MergeSort!$D$5:$D$9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B28-433D-A884-6D6E2601AE0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MergeSort!$F$3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MergeSort!$B$5:$B$9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MergeSort!$F$5:$F$9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28-433D-A884-6D6E2601AE0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MergeSort!$H$3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MergeSort!$B$5:$B$9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MergeSort!$H$5:$H$9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28-433D-A884-6D6E2601AE0C}"/>
                  </c:ext>
                </c:extLst>
              </c15:ser>
            </c15:filteredLineSeries>
          </c:ext>
        </c:extLst>
      </c:lineChart>
      <c:catAx>
        <c:axId val="112567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64304"/>
        <c:crosses val="autoZero"/>
        <c:auto val="1"/>
        <c:lblAlgn val="ctr"/>
        <c:lblOffset val="100"/>
        <c:noMultiLvlLbl val="0"/>
      </c:catAx>
      <c:valAx>
        <c:axId val="11256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7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HeapSort!$C$3</c:f>
              <c:strCache>
                <c:ptCount val="1"/>
                <c:pt idx="0">
                  <c:v>Arreglo Pequeño (100,000)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HeapSort!$B$5:$B$9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HeapSort!$C$5:$C$9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B-4232-8225-A48D38AC3889}"/>
            </c:ext>
          </c:extLst>
        </c:ser>
        <c:ser>
          <c:idx val="2"/>
          <c:order val="2"/>
          <c:tx>
            <c:strRef>
              <c:f>HeapSort!$E$3</c:f>
              <c:strCache>
                <c:ptCount val="1"/>
                <c:pt idx="0">
                  <c:v>Arreglo Mediano (750,000)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HeapSort!$B$5:$B$9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HeapSort!$E$5:$E$9</c:f>
              <c:numCache>
                <c:formatCode>General</c:formatCode>
                <c:ptCount val="5"/>
                <c:pt idx="0">
                  <c:v>98</c:v>
                </c:pt>
                <c:pt idx="1">
                  <c:v>92</c:v>
                </c:pt>
                <c:pt idx="2">
                  <c:v>103</c:v>
                </c:pt>
                <c:pt idx="3">
                  <c:v>95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B-4232-8225-A48D38AC3889}"/>
            </c:ext>
          </c:extLst>
        </c:ser>
        <c:ser>
          <c:idx val="4"/>
          <c:order val="4"/>
          <c:tx>
            <c:strRef>
              <c:f>HeapSort!$G$3</c:f>
              <c:strCache>
                <c:ptCount val="1"/>
                <c:pt idx="0">
                  <c:v>Arreglo grande (3,000,000)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HeapSort!$B$5:$B$9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HeapSort!$G$5:$G$9</c:f>
              <c:numCache>
                <c:formatCode>General</c:formatCode>
                <c:ptCount val="5"/>
                <c:pt idx="0">
                  <c:v>538</c:v>
                </c:pt>
                <c:pt idx="1">
                  <c:v>423</c:v>
                </c:pt>
                <c:pt idx="2">
                  <c:v>436</c:v>
                </c:pt>
                <c:pt idx="3">
                  <c:v>455</c:v>
                </c:pt>
                <c:pt idx="4">
                  <c:v>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6B-4232-8225-A48D38AC3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3138704"/>
        <c:axId val="113314734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HeapSort!$D$3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HeapSort!$B$5:$B$9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HeapSort!$D$5:$D$9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36B-4232-8225-A48D38AC388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HeapSort!$F$3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HeapSort!$B$5:$B$9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HeapSort!$F$5:$F$9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36B-4232-8225-A48D38AC388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HeapSort!$H$3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HeapSort!$B$5:$B$9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HeapSort!$H$5:$H$9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36B-4232-8225-A48D38AC3889}"/>
                  </c:ext>
                </c:extLst>
              </c15:ser>
            </c15:filteredLineSeries>
          </c:ext>
        </c:extLst>
      </c:lineChart>
      <c:catAx>
        <c:axId val="113313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47344"/>
        <c:crosses val="autoZero"/>
        <c:auto val="1"/>
        <c:lblAlgn val="ctr"/>
        <c:lblOffset val="100"/>
        <c:noMultiLvlLbl val="0"/>
      </c:catAx>
      <c:valAx>
        <c:axId val="113314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3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QuickSort!$C$3</c:f>
              <c:strCache>
                <c:ptCount val="1"/>
                <c:pt idx="0">
                  <c:v>Arreglo Pequeño (100,000)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QuickSort!$B$5:$B$9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QuickSort!$C$5:$C$9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75-4290-A1E9-FCBB351D03F7}"/>
            </c:ext>
          </c:extLst>
        </c:ser>
        <c:ser>
          <c:idx val="2"/>
          <c:order val="2"/>
          <c:tx>
            <c:strRef>
              <c:f>QuickSort!$E$3</c:f>
              <c:strCache>
                <c:ptCount val="1"/>
                <c:pt idx="0">
                  <c:v>Arreglo Mediano (750,000)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QuickSort!$B$5:$B$9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QuickSort!$E$5:$E$9</c:f>
              <c:numCache>
                <c:formatCode>General</c:formatCode>
                <c:ptCount val="5"/>
                <c:pt idx="0">
                  <c:v>63</c:v>
                </c:pt>
                <c:pt idx="1">
                  <c:v>63</c:v>
                </c:pt>
                <c:pt idx="2">
                  <c:v>61</c:v>
                </c:pt>
                <c:pt idx="3">
                  <c:v>58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75-4290-A1E9-FCBB351D03F7}"/>
            </c:ext>
          </c:extLst>
        </c:ser>
        <c:ser>
          <c:idx val="4"/>
          <c:order val="4"/>
          <c:tx>
            <c:strRef>
              <c:f>QuickSort!$G$3</c:f>
              <c:strCache>
                <c:ptCount val="1"/>
                <c:pt idx="0">
                  <c:v>Arreglo grande (3,000,000)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QuickSort!$B$5:$B$9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QuickSort!$G$5:$G$9</c:f>
              <c:numCache>
                <c:formatCode>General</c:formatCode>
                <c:ptCount val="5"/>
                <c:pt idx="0">
                  <c:v>260</c:v>
                </c:pt>
                <c:pt idx="1">
                  <c:v>248</c:v>
                </c:pt>
                <c:pt idx="2">
                  <c:v>253</c:v>
                </c:pt>
                <c:pt idx="3">
                  <c:v>259</c:v>
                </c:pt>
                <c:pt idx="4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75-4290-A1E9-FCBB351D0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830432"/>
        <c:axId val="11308313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QuickSort!$D$3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QuickSort!$B$5:$B$9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QuickSort!$D$5:$D$9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875-4290-A1E9-FCBB351D03F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QuickSort!$F$3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QuickSort!$F$5:$F$9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75-4290-A1E9-FCBB351D03F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QuickSort!$H$3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QuickSort!$B$5:$B$9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QuickSort!$H$5:$H$9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75-4290-A1E9-FCBB351D03F7}"/>
                  </c:ext>
                </c:extLst>
              </c15:ser>
            </c15:filteredLineSeries>
          </c:ext>
        </c:extLst>
      </c:lineChart>
      <c:catAx>
        <c:axId val="113083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31392"/>
        <c:crosses val="autoZero"/>
        <c:auto val="1"/>
        <c:lblAlgn val="ctr"/>
        <c:lblOffset val="100"/>
        <c:noMultiLvlLbl val="0"/>
      </c:catAx>
      <c:valAx>
        <c:axId val="113083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3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Comparacion!$L$3</c:f>
              <c:strCache>
                <c:ptCount val="1"/>
                <c:pt idx="0">
                  <c:v>InsertionSort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Comparacion!$L$4:$L$8</c:f>
              <c:numCache>
                <c:formatCode>General</c:formatCode>
                <c:ptCount val="5"/>
                <c:pt idx="0">
                  <c:v>1142</c:v>
                </c:pt>
                <c:pt idx="1">
                  <c:v>1101</c:v>
                </c:pt>
                <c:pt idx="2">
                  <c:v>1151</c:v>
                </c:pt>
                <c:pt idx="3">
                  <c:v>1146</c:v>
                </c:pt>
                <c:pt idx="4">
                  <c:v>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E5-4FE1-8DA2-2A34BC9C43ED}"/>
            </c:ext>
          </c:extLst>
        </c:ser>
        <c:ser>
          <c:idx val="1"/>
          <c:order val="1"/>
          <c:tx>
            <c:strRef>
              <c:f>Comparacion!$M$3</c:f>
              <c:strCache>
                <c:ptCount val="1"/>
                <c:pt idx="0">
                  <c:v>SelectionSort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Comparacion!$M$4:$M$8</c:f>
              <c:numCache>
                <c:formatCode>General</c:formatCode>
                <c:ptCount val="5"/>
                <c:pt idx="0">
                  <c:v>2066</c:v>
                </c:pt>
                <c:pt idx="1">
                  <c:v>2275</c:v>
                </c:pt>
                <c:pt idx="2">
                  <c:v>2123</c:v>
                </c:pt>
                <c:pt idx="3">
                  <c:v>2167</c:v>
                </c:pt>
                <c:pt idx="4">
                  <c:v>2108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E5-4FE1-8DA2-2A34BC9C43ED}"/>
            </c:ext>
          </c:extLst>
        </c:ser>
        <c:ser>
          <c:idx val="2"/>
          <c:order val="2"/>
          <c:tx>
            <c:strRef>
              <c:f>Comparacion!$N$3</c:f>
              <c:strCache>
                <c:ptCount val="1"/>
                <c:pt idx="0">
                  <c:v>BubbleSort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Comparacion!$N$4:$N$8</c:f>
              <c:numCache>
                <c:formatCode>General</c:formatCode>
                <c:ptCount val="5"/>
                <c:pt idx="0">
                  <c:v>10776</c:v>
                </c:pt>
                <c:pt idx="1">
                  <c:v>10684</c:v>
                </c:pt>
                <c:pt idx="2">
                  <c:v>10753</c:v>
                </c:pt>
                <c:pt idx="3">
                  <c:v>10835</c:v>
                </c:pt>
                <c:pt idx="4">
                  <c:v>10942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E5-4FE1-8DA2-2A34BC9C43ED}"/>
            </c:ext>
          </c:extLst>
        </c:ser>
        <c:ser>
          <c:idx val="3"/>
          <c:order val="3"/>
          <c:tx>
            <c:strRef>
              <c:f>Comparacion!$O$3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Comparacion!$O$4:$O$8</c:f>
              <c:numCache>
                <c:formatCode>General</c:formatCode>
                <c:ptCount val="5"/>
                <c:pt idx="0">
                  <c:v>12</c:v>
                </c:pt>
                <c:pt idx="1">
                  <c:v>16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E5-4FE1-8DA2-2A34BC9C43ED}"/>
            </c:ext>
          </c:extLst>
        </c:ser>
        <c:ser>
          <c:idx val="4"/>
          <c:order val="4"/>
          <c:tx>
            <c:strRef>
              <c:f>Comparacion!$P$3</c:f>
              <c:strCache>
                <c:ptCount val="1"/>
                <c:pt idx="0">
                  <c:v>HeapSort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Comparacion!$P$4:$P$8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E5-4FE1-8DA2-2A34BC9C43ED}"/>
            </c:ext>
          </c:extLst>
        </c:ser>
        <c:ser>
          <c:idx val="5"/>
          <c:order val="5"/>
          <c:tx>
            <c:strRef>
              <c:f>Comparacion!$Q$3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Comparacion!$Q$4:$Q$8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E5-4FE1-8DA2-2A34BC9C4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5213616"/>
        <c:axId val="1175239056"/>
      </c:lineChart>
      <c:catAx>
        <c:axId val="117521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39056"/>
        <c:crosses val="autoZero"/>
        <c:auto val="1"/>
        <c:lblAlgn val="ctr"/>
        <c:lblOffset val="100"/>
        <c:noMultiLvlLbl val="0"/>
      </c:catAx>
      <c:valAx>
        <c:axId val="117523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1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Comparacion!$L$27</c:f>
              <c:strCache>
                <c:ptCount val="1"/>
                <c:pt idx="0">
                  <c:v>InsertionSort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Comparacion!$L$28:$L$32</c:f>
              <c:numCache>
                <c:formatCode>General</c:formatCode>
                <c:ptCount val="5"/>
                <c:pt idx="0">
                  <c:v>101024</c:v>
                </c:pt>
                <c:pt idx="1">
                  <c:v>73327</c:v>
                </c:pt>
                <c:pt idx="2">
                  <c:v>67644</c:v>
                </c:pt>
                <c:pt idx="3">
                  <c:v>69669</c:v>
                </c:pt>
                <c:pt idx="4">
                  <c:v>70409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2-4197-95D2-9000C7703279}"/>
            </c:ext>
          </c:extLst>
        </c:ser>
        <c:ser>
          <c:idx val="1"/>
          <c:order val="1"/>
          <c:tx>
            <c:strRef>
              <c:f>Comparacion!$M$27</c:f>
              <c:strCache>
                <c:ptCount val="1"/>
                <c:pt idx="0">
                  <c:v>SelectionSort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Comparacion!$M$28:$M$32</c:f>
              <c:numCache>
                <c:formatCode>General</c:formatCode>
                <c:ptCount val="5"/>
                <c:pt idx="0">
                  <c:v>78525</c:v>
                </c:pt>
                <c:pt idx="1">
                  <c:v>77750</c:v>
                </c:pt>
                <c:pt idx="2">
                  <c:v>71755</c:v>
                </c:pt>
                <c:pt idx="3">
                  <c:v>87609</c:v>
                </c:pt>
                <c:pt idx="4">
                  <c:v>123558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D2-4197-95D2-9000C7703279}"/>
            </c:ext>
          </c:extLst>
        </c:ser>
        <c:ser>
          <c:idx val="2"/>
          <c:order val="2"/>
          <c:tx>
            <c:strRef>
              <c:f>Comparacion!$N$27</c:f>
              <c:strCache>
                <c:ptCount val="1"/>
                <c:pt idx="0">
                  <c:v>BubbleSort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Comparacion!$N$28:$N$32</c:f>
              <c:numCache>
                <c:formatCode>General</c:formatCode>
                <c:ptCount val="5"/>
                <c:pt idx="0">
                  <c:v>639875</c:v>
                </c:pt>
                <c:pt idx="1">
                  <c:v>754163</c:v>
                </c:pt>
                <c:pt idx="2">
                  <c:v>612154</c:v>
                </c:pt>
                <c:pt idx="3">
                  <c:v>639438</c:v>
                </c:pt>
                <c:pt idx="4">
                  <c:v>731132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D2-4197-95D2-9000C7703279}"/>
            </c:ext>
          </c:extLst>
        </c:ser>
        <c:ser>
          <c:idx val="3"/>
          <c:order val="3"/>
          <c:tx>
            <c:strRef>
              <c:f>Comparacion!$O$27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Comparacion!$O$28:$O$32</c:f>
              <c:numCache>
                <c:formatCode>General</c:formatCode>
                <c:ptCount val="5"/>
                <c:pt idx="0">
                  <c:v>74</c:v>
                </c:pt>
                <c:pt idx="1">
                  <c:v>105</c:v>
                </c:pt>
                <c:pt idx="2">
                  <c:v>101</c:v>
                </c:pt>
                <c:pt idx="3">
                  <c:v>105</c:v>
                </c:pt>
                <c:pt idx="4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D2-4197-95D2-9000C7703279}"/>
            </c:ext>
          </c:extLst>
        </c:ser>
        <c:ser>
          <c:idx val="4"/>
          <c:order val="4"/>
          <c:tx>
            <c:strRef>
              <c:f>Comparacion!$P$27</c:f>
              <c:strCache>
                <c:ptCount val="1"/>
                <c:pt idx="0">
                  <c:v>HeapSort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Comparacion!$P$28:$P$32</c:f>
              <c:numCache>
                <c:formatCode>General</c:formatCode>
                <c:ptCount val="5"/>
                <c:pt idx="0">
                  <c:v>98</c:v>
                </c:pt>
                <c:pt idx="1">
                  <c:v>92</c:v>
                </c:pt>
                <c:pt idx="2">
                  <c:v>103</c:v>
                </c:pt>
                <c:pt idx="3">
                  <c:v>95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D2-4197-95D2-9000C7703279}"/>
            </c:ext>
          </c:extLst>
        </c:ser>
        <c:ser>
          <c:idx val="5"/>
          <c:order val="5"/>
          <c:tx>
            <c:strRef>
              <c:f>Comparacion!$Q$27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Comparacion!$Q$28:$Q$32</c:f>
              <c:numCache>
                <c:formatCode>General</c:formatCode>
                <c:ptCount val="5"/>
                <c:pt idx="0">
                  <c:v>63</c:v>
                </c:pt>
                <c:pt idx="1">
                  <c:v>63</c:v>
                </c:pt>
                <c:pt idx="2">
                  <c:v>61</c:v>
                </c:pt>
                <c:pt idx="3">
                  <c:v>58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D2-4197-95D2-9000C7703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083472"/>
        <c:axId val="1159069072"/>
      </c:lineChart>
      <c:catAx>
        <c:axId val="115908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69072"/>
        <c:crosses val="autoZero"/>
        <c:auto val="1"/>
        <c:lblAlgn val="ctr"/>
        <c:lblOffset val="100"/>
        <c:noMultiLvlLbl val="0"/>
      </c:catAx>
      <c:valAx>
        <c:axId val="115906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8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Comparacion!$L$50</c:f>
              <c:strCache>
                <c:ptCount val="1"/>
                <c:pt idx="0">
                  <c:v>InsertionSort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Comparacion!$L$51:$L$55</c:f>
              <c:numCache>
                <c:formatCode>General</c:formatCode>
                <c:ptCount val="5"/>
                <c:pt idx="0">
                  <c:v>393328</c:v>
                </c:pt>
                <c:pt idx="1">
                  <c:v>387522</c:v>
                </c:pt>
                <c:pt idx="2">
                  <c:v>395238</c:v>
                </c:pt>
                <c:pt idx="3">
                  <c:v>358893</c:v>
                </c:pt>
                <c:pt idx="4">
                  <c:v>380514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7-49CF-A5C9-3C19922AB525}"/>
            </c:ext>
          </c:extLst>
        </c:ser>
        <c:ser>
          <c:idx val="1"/>
          <c:order val="1"/>
          <c:tx>
            <c:strRef>
              <c:f>Comparacion!$M$50</c:f>
              <c:strCache>
                <c:ptCount val="1"/>
                <c:pt idx="0">
                  <c:v>SelectionSort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Comparacion!$M$51:$M$55</c:f>
              <c:numCache>
                <c:formatCode>General</c:formatCode>
                <c:ptCount val="5"/>
                <c:pt idx="0">
                  <c:v>1332837</c:v>
                </c:pt>
                <c:pt idx="1">
                  <c:v>1319535</c:v>
                </c:pt>
                <c:pt idx="2">
                  <c:v>1365814</c:v>
                </c:pt>
                <c:pt idx="3">
                  <c:v>1325638</c:v>
                </c:pt>
                <c:pt idx="4">
                  <c:v>1346125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F7-49CF-A5C9-3C19922AB525}"/>
            </c:ext>
          </c:extLst>
        </c:ser>
        <c:ser>
          <c:idx val="2"/>
          <c:order val="2"/>
          <c:tx>
            <c:strRef>
              <c:f>Comparacion!$N$50</c:f>
              <c:strCache>
                <c:ptCount val="1"/>
                <c:pt idx="0">
                  <c:v>BubbleSort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Comparacion!$N$51:$N$55</c:f>
              <c:numCache>
                <c:formatCode>General</c:formatCode>
                <c:ptCount val="5"/>
                <c:pt idx="0">
                  <c:v>9443752</c:v>
                </c:pt>
                <c:pt idx="1">
                  <c:v>9446453</c:v>
                </c:pt>
                <c:pt idx="2">
                  <c:v>9543875</c:v>
                </c:pt>
                <c:pt idx="3">
                  <c:v>9439872</c:v>
                </c:pt>
                <c:pt idx="4">
                  <c:v>9354867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F7-49CF-A5C9-3C19922AB525}"/>
            </c:ext>
          </c:extLst>
        </c:ser>
        <c:ser>
          <c:idx val="3"/>
          <c:order val="3"/>
          <c:tx>
            <c:strRef>
              <c:f>Comparacion!$O$50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Comparacion!$O$51:$O$55</c:f>
              <c:numCache>
                <c:formatCode>General</c:formatCode>
                <c:ptCount val="5"/>
                <c:pt idx="0">
                  <c:v>303</c:v>
                </c:pt>
                <c:pt idx="1">
                  <c:v>467</c:v>
                </c:pt>
                <c:pt idx="2">
                  <c:v>381</c:v>
                </c:pt>
                <c:pt idx="3">
                  <c:v>396</c:v>
                </c:pt>
                <c:pt idx="4">
                  <c:v>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F7-49CF-A5C9-3C19922AB525}"/>
            </c:ext>
          </c:extLst>
        </c:ser>
        <c:ser>
          <c:idx val="4"/>
          <c:order val="4"/>
          <c:tx>
            <c:strRef>
              <c:f>Comparacion!$P$50</c:f>
              <c:strCache>
                <c:ptCount val="1"/>
                <c:pt idx="0">
                  <c:v>HeapSort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Comparacion!$P$51:$P$55</c:f>
              <c:numCache>
                <c:formatCode>General</c:formatCode>
                <c:ptCount val="5"/>
                <c:pt idx="0">
                  <c:v>538</c:v>
                </c:pt>
                <c:pt idx="1">
                  <c:v>423</c:v>
                </c:pt>
                <c:pt idx="2">
                  <c:v>436</c:v>
                </c:pt>
                <c:pt idx="3">
                  <c:v>455</c:v>
                </c:pt>
                <c:pt idx="4">
                  <c:v>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F7-49CF-A5C9-3C19922AB525}"/>
            </c:ext>
          </c:extLst>
        </c:ser>
        <c:ser>
          <c:idx val="5"/>
          <c:order val="5"/>
          <c:tx>
            <c:strRef>
              <c:f>Comparacion!$Q$50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Comparacion!$Q$51:$Q$55</c:f>
              <c:numCache>
                <c:formatCode>General</c:formatCode>
                <c:ptCount val="5"/>
                <c:pt idx="0">
                  <c:v>260</c:v>
                </c:pt>
                <c:pt idx="1">
                  <c:v>248</c:v>
                </c:pt>
                <c:pt idx="2">
                  <c:v>253</c:v>
                </c:pt>
                <c:pt idx="3">
                  <c:v>259</c:v>
                </c:pt>
                <c:pt idx="4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8F7-49CF-A5C9-3C19922AB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5227536"/>
        <c:axId val="1175212656"/>
      </c:lineChart>
      <c:catAx>
        <c:axId val="117522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12656"/>
        <c:crosses val="autoZero"/>
        <c:auto val="1"/>
        <c:lblAlgn val="ctr"/>
        <c:lblOffset val="100"/>
        <c:noMultiLvlLbl val="0"/>
      </c:catAx>
      <c:valAx>
        <c:axId val="117521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2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11</xdr:row>
      <xdr:rowOff>4762</xdr:rowOff>
    </xdr:from>
    <xdr:to>
      <xdr:col>6</xdr:col>
      <xdr:colOff>95250</xdr:colOff>
      <xdr:row>25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55D2C-7098-1EDD-62B3-6BF63010A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9</xdr:col>
      <xdr:colOff>304800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133173-89C0-4390-8884-BC8B65D14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9</xdr:col>
      <xdr:colOff>304800</xdr:colOff>
      <xdr:row>31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5C20DE-660C-492A-AD58-6686D3E20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9</xdr:col>
      <xdr:colOff>304800</xdr:colOff>
      <xdr:row>46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F27F31-4933-430F-BAE6-8B347ECC8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9</xdr:col>
      <xdr:colOff>304800</xdr:colOff>
      <xdr:row>61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05C4FE-6648-431F-8A08-E73CA7578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62</xdr:row>
      <xdr:rowOff>0</xdr:rowOff>
    </xdr:from>
    <xdr:to>
      <xdr:col>9</xdr:col>
      <xdr:colOff>304800</xdr:colOff>
      <xdr:row>76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467358-F7D6-40E2-B77B-C2A73D294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77</xdr:row>
      <xdr:rowOff>0</xdr:rowOff>
    </xdr:from>
    <xdr:to>
      <xdr:col>9</xdr:col>
      <xdr:colOff>304800</xdr:colOff>
      <xdr:row>91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4D333DA-2E86-4681-B0C8-5E83B16AA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8</xdr:row>
      <xdr:rowOff>176212</xdr:rowOff>
    </xdr:from>
    <xdr:to>
      <xdr:col>16</xdr:col>
      <xdr:colOff>161925</xdr:colOff>
      <xdr:row>23</xdr:row>
      <xdr:rowOff>61912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94F2D3A-AD68-52B6-8506-F2DD50034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1175</xdr:colOff>
      <xdr:row>32</xdr:row>
      <xdr:rowOff>151223</xdr:rowOff>
    </xdr:from>
    <xdr:to>
      <xdr:col>16</xdr:col>
      <xdr:colOff>175212</xdr:colOff>
      <xdr:row>47</xdr:row>
      <xdr:rowOff>72201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F999442-B126-BD7F-81DC-0099A84C7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600898</xdr:colOff>
      <xdr:row>55</xdr:row>
      <xdr:rowOff>186502</xdr:rowOff>
    </xdr:from>
    <xdr:to>
      <xdr:col>16</xdr:col>
      <xdr:colOff>163454</xdr:colOff>
      <xdr:row>70</xdr:row>
      <xdr:rowOff>107479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1A906A5-558D-B200-1C32-67DBF51B6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"/>
  <sheetViews>
    <sheetView tabSelected="1" workbookViewId="0">
      <selection activeCell="G5" sqref="G5:H9"/>
    </sheetView>
  </sheetViews>
  <sheetFormatPr defaultRowHeight="15" x14ac:dyDescent="0.25"/>
  <cols>
    <col min="2" max="2" width="2" bestFit="1" customWidth="1"/>
    <col min="3" max="3" width="23.5703125" bestFit="1" customWidth="1"/>
    <col min="5" max="5" width="25.140625" bestFit="1" customWidth="1"/>
    <col min="7" max="7" width="22.5703125" bestFit="1" customWidth="1"/>
  </cols>
  <sheetData>
    <row r="2" spans="1:8" ht="15.75" thickBot="1" x14ac:dyDescent="0.3">
      <c r="C2" s="28" t="s">
        <v>3</v>
      </c>
      <c r="D2" s="28"/>
    </row>
    <row r="3" spans="1:8" x14ac:dyDescent="0.25">
      <c r="B3" s="37"/>
      <c r="C3" s="41" t="s">
        <v>0</v>
      </c>
      <c r="D3" s="42"/>
      <c r="E3" s="41" t="s">
        <v>1</v>
      </c>
      <c r="F3" s="46"/>
      <c r="G3" s="45" t="s">
        <v>2</v>
      </c>
      <c r="H3" s="46"/>
    </row>
    <row r="4" spans="1:8" x14ac:dyDescent="0.25">
      <c r="B4" s="38"/>
      <c r="C4" s="43"/>
      <c r="D4" s="44"/>
      <c r="E4" s="43"/>
      <c r="F4" s="48"/>
      <c r="G4" s="47"/>
      <c r="H4" s="48"/>
    </row>
    <row r="5" spans="1:8" x14ac:dyDescent="0.25">
      <c r="A5" s="3"/>
      <c r="B5" s="7">
        <v>1</v>
      </c>
      <c r="C5" s="39">
        <v>1142</v>
      </c>
      <c r="D5" s="40"/>
      <c r="E5" s="40">
        <v>101024</v>
      </c>
      <c r="F5" s="40"/>
      <c r="G5" s="40">
        <v>393328</v>
      </c>
      <c r="H5" s="40"/>
    </row>
    <row r="6" spans="1:8" x14ac:dyDescent="0.25">
      <c r="A6" s="3"/>
      <c r="B6" s="6">
        <v>2</v>
      </c>
      <c r="C6" s="29">
        <v>1101</v>
      </c>
      <c r="D6" s="30"/>
      <c r="E6" s="30">
        <v>73327</v>
      </c>
      <c r="F6" s="30"/>
      <c r="G6" s="30">
        <v>387522</v>
      </c>
      <c r="H6" s="30"/>
    </row>
    <row r="7" spans="1:8" x14ac:dyDescent="0.25">
      <c r="B7" s="8">
        <v>3</v>
      </c>
      <c r="C7" s="29">
        <v>1151</v>
      </c>
      <c r="D7" s="30"/>
      <c r="E7" s="30">
        <v>67644</v>
      </c>
      <c r="F7" s="30"/>
      <c r="G7" s="30">
        <v>395238</v>
      </c>
      <c r="H7" s="30"/>
    </row>
    <row r="8" spans="1:8" x14ac:dyDescent="0.25">
      <c r="B8" s="6">
        <v>4</v>
      </c>
      <c r="C8" s="32">
        <v>1146</v>
      </c>
      <c r="D8" s="31"/>
      <c r="E8" s="31">
        <v>69669</v>
      </c>
      <c r="F8" s="31"/>
      <c r="G8" s="31">
        <v>358893</v>
      </c>
      <c r="H8" s="31"/>
    </row>
    <row r="9" spans="1:8" x14ac:dyDescent="0.25">
      <c r="B9" s="8">
        <v>5</v>
      </c>
      <c r="C9" s="32">
        <v>1168</v>
      </c>
      <c r="D9" s="31"/>
      <c r="E9" s="31">
        <v>70409</v>
      </c>
      <c r="F9" s="31"/>
      <c r="G9" s="31">
        <v>380514</v>
      </c>
      <c r="H9" s="31"/>
    </row>
    <row r="10" spans="1:8" x14ac:dyDescent="0.25">
      <c r="B10" s="4"/>
      <c r="C10" s="33">
        <f>AVERAGE(C5:D9)</f>
        <v>1141.5999999999999</v>
      </c>
      <c r="D10" s="34"/>
      <c r="E10" s="35">
        <f>AVERAGE(E5:F9)</f>
        <v>76414.600000000006</v>
      </c>
      <c r="F10" s="36"/>
      <c r="G10" s="33">
        <f>AVERAGE(G5:H9)</f>
        <v>383099</v>
      </c>
      <c r="H10" s="36"/>
    </row>
  </sheetData>
  <mergeCells count="23">
    <mergeCell ref="C10:D10"/>
    <mergeCell ref="E10:F10"/>
    <mergeCell ref="G10:H10"/>
    <mergeCell ref="B3:B4"/>
    <mergeCell ref="C5:D5"/>
    <mergeCell ref="E5:F5"/>
    <mergeCell ref="G5:H5"/>
    <mergeCell ref="G6:H6"/>
    <mergeCell ref="E6:F6"/>
    <mergeCell ref="C6:D6"/>
    <mergeCell ref="C3:D4"/>
    <mergeCell ref="G3:H4"/>
    <mergeCell ref="E3:F4"/>
    <mergeCell ref="C9:D9"/>
    <mergeCell ref="E9:F9"/>
    <mergeCell ref="G9:H9"/>
    <mergeCell ref="C2:D2"/>
    <mergeCell ref="C7:D7"/>
    <mergeCell ref="E7:F7"/>
    <mergeCell ref="G7:H7"/>
    <mergeCell ref="G8:H8"/>
    <mergeCell ref="E8:F8"/>
    <mergeCell ref="C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CF71-CEDB-4182-94ED-D98241688A23}">
  <dimension ref="B2:H10"/>
  <sheetViews>
    <sheetView workbookViewId="0">
      <selection activeCell="G5" sqref="G5:H9"/>
    </sheetView>
  </sheetViews>
  <sheetFormatPr defaultRowHeight="15" x14ac:dyDescent="0.25"/>
  <cols>
    <col min="2" max="2" width="2" bestFit="1" customWidth="1"/>
    <col min="3" max="3" width="23.5703125" bestFit="1" customWidth="1"/>
    <col min="5" max="5" width="25.140625" bestFit="1" customWidth="1"/>
    <col min="7" max="7" width="22.5703125" bestFit="1" customWidth="1"/>
  </cols>
  <sheetData>
    <row r="2" spans="2:8" ht="15.75" thickBot="1" x14ac:dyDescent="0.3">
      <c r="C2" s="28" t="s">
        <v>4</v>
      </c>
      <c r="D2" s="28"/>
    </row>
    <row r="3" spans="2:8" ht="15" customHeight="1" x14ac:dyDescent="0.25">
      <c r="B3" s="57"/>
      <c r="C3" s="55" t="s">
        <v>0</v>
      </c>
      <c r="D3" s="53"/>
      <c r="E3" s="49" t="s">
        <v>1</v>
      </c>
      <c r="F3" s="53"/>
      <c r="G3" s="49" t="s">
        <v>2</v>
      </c>
      <c r="H3" s="50"/>
    </row>
    <row r="4" spans="2:8" ht="15.75" thickBot="1" x14ac:dyDescent="0.3">
      <c r="B4" s="58"/>
      <c r="C4" s="56"/>
      <c r="D4" s="54"/>
      <c r="E4" s="51"/>
      <c r="F4" s="54"/>
      <c r="G4" s="51"/>
      <c r="H4" s="52"/>
    </row>
    <row r="5" spans="2:8" x14ac:dyDescent="0.25">
      <c r="B5" s="1">
        <v>1</v>
      </c>
      <c r="C5" s="39">
        <v>2066</v>
      </c>
      <c r="D5" s="40"/>
      <c r="E5" s="40">
        <v>78525</v>
      </c>
      <c r="F5" s="40"/>
      <c r="G5" s="40">
        <v>1332837</v>
      </c>
      <c r="H5" s="40"/>
    </row>
    <row r="6" spans="2:8" x14ac:dyDescent="0.25">
      <c r="B6" s="1">
        <v>2</v>
      </c>
      <c r="C6" s="29">
        <v>2275</v>
      </c>
      <c r="D6" s="30"/>
      <c r="E6" s="30">
        <v>77750</v>
      </c>
      <c r="F6" s="30"/>
      <c r="G6" s="40">
        <v>1319535</v>
      </c>
      <c r="H6" s="40"/>
    </row>
    <row r="7" spans="2:8" x14ac:dyDescent="0.25">
      <c r="B7" s="1">
        <v>3</v>
      </c>
      <c r="C7" s="29">
        <v>2123</v>
      </c>
      <c r="D7" s="30"/>
      <c r="E7" s="30">
        <v>71755</v>
      </c>
      <c r="F7" s="30"/>
      <c r="G7" s="40">
        <v>1365814</v>
      </c>
      <c r="H7" s="40"/>
    </row>
    <row r="8" spans="2:8" x14ac:dyDescent="0.25">
      <c r="B8" s="2">
        <v>4</v>
      </c>
      <c r="C8" s="32">
        <v>2167</v>
      </c>
      <c r="D8" s="31"/>
      <c r="E8" s="31">
        <v>87609</v>
      </c>
      <c r="F8" s="31"/>
      <c r="G8" s="40">
        <v>1325638</v>
      </c>
      <c r="H8" s="40"/>
    </row>
    <row r="9" spans="2:8" x14ac:dyDescent="0.25">
      <c r="B9" s="2">
        <v>5</v>
      </c>
      <c r="C9" s="32">
        <v>2108</v>
      </c>
      <c r="D9" s="31"/>
      <c r="E9" s="31">
        <v>123558</v>
      </c>
      <c r="F9" s="31"/>
      <c r="G9" s="40">
        <v>1346125</v>
      </c>
      <c r="H9" s="40"/>
    </row>
    <row r="10" spans="2:8" x14ac:dyDescent="0.25">
      <c r="B10" s="5"/>
      <c r="C10" s="59">
        <f>AVERAGE(C5:D9)</f>
        <v>2147.8000000000002</v>
      </c>
      <c r="D10" s="60"/>
      <c r="E10" s="59">
        <f>AVERAGE(E5:F9)</f>
        <v>87839.4</v>
      </c>
      <c r="F10" s="60"/>
      <c r="G10" s="59">
        <f t="shared" ref="G10" si="0">AVERAGE(G5:H9)</f>
        <v>1337989.8</v>
      </c>
      <c r="H10" s="60"/>
    </row>
  </sheetData>
  <mergeCells count="23">
    <mergeCell ref="C10:D10"/>
    <mergeCell ref="E10:F10"/>
    <mergeCell ref="G10:H10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2:D2"/>
    <mergeCell ref="G3:H4"/>
    <mergeCell ref="E3:F4"/>
    <mergeCell ref="C3:D4"/>
    <mergeCell ref="B3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CC36-FB8C-48B0-950B-A3A2DC151DF8}">
  <dimension ref="B3:H13"/>
  <sheetViews>
    <sheetView workbookViewId="0">
      <selection activeCell="G5" sqref="G5:H9"/>
    </sheetView>
  </sheetViews>
  <sheetFormatPr defaultRowHeight="15" x14ac:dyDescent="0.25"/>
  <cols>
    <col min="2" max="2" width="2" bestFit="1" customWidth="1"/>
    <col min="3" max="3" width="23.5703125" bestFit="1" customWidth="1"/>
    <col min="5" max="5" width="25.140625" bestFit="1" customWidth="1"/>
    <col min="7" max="7" width="22.5703125" bestFit="1" customWidth="1"/>
  </cols>
  <sheetData>
    <row r="3" spans="2:8" ht="15" customHeight="1" x14ac:dyDescent="0.25">
      <c r="B3" s="37"/>
      <c r="C3" s="41" t="s">
        <v>0</v>
      </c>
      <c r="D3" s="46"/>
      <c r="E3" s="45" t="s">
        <v>1</v>
      </c>
      <c r="F3" s="46"/>
      <c r="G3" s="45" t="s">
        <v>2</v>
      </c>
      <c r="H3" s="46"/>
    </row>
    <row r="4" spans="2:8" x14ac:dyDescent="0.25">
      <c r="B4" s="38"/>
      <c r="C4" s="43"/>
      <c r="D4" s="48"/>
      <c r="E4" s="47"/>
      <c r="F4" s="48"/>
      <c r="G4" s="47"/>
      <c r="H4" s="48"/>
    </row>
    <row r="5" spans="2:8" x14ac:dyDescent="0.25">
      <c r="B5" s="7">
        <v>1</v>
      </c>
      <c r="C5" s="39">
        <v>10776</v>
      </c>
      <c r="D5" s="40"/>
      <c r="E5" s="40">
        <v>639875</v>
      </c>
      <c r="F5" s="40"/>
      <c r="G5" s="40">
        <v>9443752</v>
      </c>
      <c r="H5" s="40"/>
    </row>
    <row r="6" spans="2:8" x14ac:dyDescent="0.25">
      <c r="B6" s="6">
        <v>2</v>
      </c>
      <c r="C6" s="29">
        <v>10684</v>
      </c>
      <c r="D6" s="30"/>
      <c r="E6" s="40">
        <v>754163</v>
      </c>
      <c r="F6" s="40"/>
      <c r="G6" s="30">
        <v>9446453</v>
      </c>
      <c r="H6" s="30"/>
    </row>
    <row r="7" spans="2:8" x14ac:dyDescent="0.25">
      <c r="B7" s="8">
        <v>3</v>
      </c>
      <c r="C7" s="29">
        <v>10753</v>
      </c>
      <c r="D7" s="30"/>
      <c r="E7" s="40">
        <v>612154</v>
      </c>
      <c r="F7" s="40"/>
      <c r="G7" s="30">
        <v>9543875</v>
      </c>
      <c r="H7" s="30"/>
    </row>
    <row r="8" spans="2:8" x14ac:dyDescent="0.25">
      <c r="B8" s="6">
        <v>4</v>
      </c>
      <c r="C8" s="32">
        <v>10835</v>
      </c>
      <c r="D8" s="31"/>
      <c r="E8" s="40">
        <v>639438</v>
      </c>
      <c r="F8" s="40"/>
      <c r="G8" s="31">
        <v>9439872</v>
      </c>
      <c r="H8" s="31"/>
    </row>
    <row r="9" spans="2:8" x14ac:dyDescent="0.25">
      <c r="B9" s="9">
        <v>5</v>
      </c>
      <c r="C9" s="32">
        <v>10942</v>
      </c>
      <c r="D9" s="31"/>
      <c r="E9" s="40">
        <v>731132</v>
      </c>
      <c r="F9" s="40"/>
      <c r="G9" s="31">
        <v>9354867</v>
      </c>
      <c r="H9" s="31"/>
    </row>
    <row r="10" spans="2:8" x14ac:dyDescent="0.25">
      <c r="B10" s="10"/>
      <c r="C10" s="61">
        <f>AVERAGE(C5:D9)</f>
        <v>10798</v>
      </c>
      <c r="D10" s="62"/>
      <c r="E10" s="61">
        <f t="shared" ref="E10" si="0">AVERAGE(E5:F9)</f>
        <v>675352.4</v>
      </c>
      <c r="F10" s="62"/>
      <c r="G10" s="63">
        <f t="shared" ref="G10" si="1">AVERAGE(G5:H9)</f>
        <v>9445763.8000000007</v>
      </c>
      <c r="H10" s="64"/>
    </row>
    <row r="13" spans="2:8" x14ac:dyDescent="0.25">
      <c r="E13" s="11"/>
    </row>
  </sheetData>
  <mergeCells count="22">
    <mergeCell ref="C10:D10"/>
    <mergeCell ref="E10:F10"/>
    <mergeCell ref="G10:H10"/>
    <mergeCell ref="B3:B4"/>
    <mergeCell ref="C3:D4"/>
    <mergeCell ref="E3:F4"/>
    <mergeCell ref="G3:H4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BF92-1972-49E3-90CB-3A8CFA590B17}">
  <dimension ref="B3:H10"/>
  <sheetViews>
    <sheetView workbookViewId="0">
      <selection activeCell="G5" sqref="G5:H9"/>
    </sheetView>
  </sheetViews>
  <sheetFormatPr defaultRowHeight="15" x14ac:dyDescent="0.25"/>
  <cols>
    <col min="2" max="2" width="2" bestFit="1" customWidth="1"/>
    <col min="3" max="3" width="23.5703125" bestFit="1" customWidth="1"/>
    <col min="5" max="5" width="25.140625" bestFit="1" customWidth="1"/>
    <col min="7" max="7" width="22.5703125" bestFit="1" customWidth="1"/>
  </cols>
  <sheetData>
    <row r="3" spans="2:8" ht="15" customHeight="1" x14ac:dyDescent="0.25">
      <c r="B3" s="66"/>
      <c r="C3" s="45" t="s">
        <v>0</v>
      </c>
      <c r="D3" s="42"/>
      <c r="E3" s="41" t="s">
        <v>1</v>
      </c>
      <c r="F3" s="46"/>
      <c r="G3" s="45" t="s">
        <v>2</v>
      </c>
      <c r="H3" s="46"/>
    </row>
    <row r="4" spans="2:8" x14ac:dyDescent="0.25">
      <c r="B4" s="67"/>
      <c r="C4" s="47"/>
      <c r="D4" s="44"/>
      <c r="E4" s="43"/>
      <c r="F4" s="48"/>
      <c r="G4" s="47"/>
      <c r="H4" s="48"/>
    </row>
    <row r="5" spans="2:8" x14ac:dyDescent="0.25">
      <c r="B5" s="8">
        <v>1</v>
      </c>
      <c r="C5" s="39">
        <v>12</v>
      </c>
      <c r="D5" s="40"/>
      <c r="E5" s="40">
        <v>74</v>
      </c>
      <c r="F5" s="40"/>
      <c r="G5" s="40">
        <v>303</v>
      </c>
      <c r="H5" s="40"/>
    </row>
    <row r="6" spans="2:8" x14ac:dyDescent="0.25">
      <c r="B6" s="6">
        <v>2</v>
      </c>
      <c r="C6" s="29">
        <v>16</v>
      </c>
      <c r="D6" s="30"/>
      <c r="E6" s="30">
        <v>105</v>
      </c>
      <c r="F6" s="30"/>
      <c r="G6" s="30">
        <v>467</v>
      </c>
      <c r="H6" s="30"/>
    </row>
    <row r="7" spans="2:8" x14ac:dyDescent="0.25">
      <c r="B7" s="8">
        <v>3</v>
      </c>
      <c r="C7" s="29">
        <v>18</v>
      </c>
      <c r="D7" s="30"/>
      <c r="E7" s="30">
        <v>101</v>
      </c>
      <c r="F7" s="30"/>
      <c r="G7" s="30">
        <v>381</v>
      </c>
      <c r="H7" s="30"/>
    </row>
    <row r="8" spans="2:8" x14ac:dyDescent="0.25">
      <c r="B8" s="6">
        <v>4</v>
      </c>
      <c r="C8" s="32">
        <v>16</v>
      </c>
      <c r="D8" s="31"/>
      <c r="E8" s="31">
        <v>105</v>
      </c>
      <c r="F8" s="31"/>
      <c r="G8" s="31">
        <v>396</v>
      </c>
      <c r="H8" s="31"/>
    </row>
    <row r="9" spans="2:8" x14ac:dyDescent="0.25">
      <c r="B9" s="8">
        <v>5</v>
      </c>
      <c r="C9" s="32">
        <v>15</v>
      </c>
      <c r="D9" s="31"/>
      <c r="E9" s="31">
        <v>101</v>
      </c>
      <c r="F9" s="31"/>
      <c r="G9" s="31">
        <v>382</v>
      </c>
      <c r="H9" s="31"/>
    </row>
    <row r="10" spans="2:8" x14ac:dyDescent="0.25">
      <c r="B10" s="5"/>
      <c r="C10" s="61">
        <f>AVERAGE(C5:D9)</f>
        <v>15.4</v>
      </c>
      <c r="D10" s="65"/>
      <c r="E10" s="61">
        <f t="shared" ref="E10" si="0">AVERAGE(E5:F9)</f>
        <v>97.2</v>
      </c>
      <c r="F10" s="65"/>
      <c r="G10" s="61">
        <f t="shared" ref="G10" si="1">AVERAGE(G5:H9)</f>
        <v>385.8</v>
      </c>
      <c r="H10" s="65"/>
    </row>
  </sheetData>
  <mergeCells count="22">
    <mergeCell ref="C10:D10"/>
    <mergeCell ref="E10:F10"/>
    <mergeCell ref="G10:H10"/>
    <mergeCell ref="B3:B4"/>
    <mergeCell ref="C3:D4"/>
    <mergeCell ref="E3:F4"/>
    <mergeCell ref="G3:H4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9C47-9279-4FB0-9148-87297DF00A92}">
  <dimension ref="B3:H10"/>
  <sheetViews>
    <sheetView workbookViewId="0">
      <selection activeCell="G9" sqref="G5:H9"/>
    </sheetView>
  </sheetViews>
  <sheetFormatPr defaultRowHeight="15" x14ac:dyDescent="0.25"/>
  <cols>
    <col min="2" max="2" width="2" bestFit="1" customWidth="1"/>
    <col min="3" max="3" width="23.5703125" bestFit="1" customWidth="1"/>
    <col min="5" max="5" width="25.140625" bestFit="1" customWidth="1"/>
    <col min="7" max="7" width="22.5703125" bestFit="1" customWidth="1"/>
  </cols>
  <sheetData>
    <row r="3" spans="2:8" ht="15" customHeight="1" x14ac:dyDescent="0.25">
      <c r="B3" s="66"/>
      <c r="C3" s="45" t="s">
        <v>0</v>
      </c>
      <c r="D3" s="42"/>
      <c r="E3" s="41" t="s">
        <v>1</v>
      </c>
      <c r="F3" s="46"/>
      <c r="G3" s="45" t="s">
        <v>2</v>
      </c>
      <c r="H3" s="46"/>
    </row>
    <row r="4" spans="2:8" x14ac:dyDescent="0.25">
      <c r="B4" s="67"/>
      <c r="C4" s="47"/>
      <c r="D4" s="44"/>
      <c r="E4" s="43"/>
      <c r="F4" s="48"/>
      <c r="G4" s="47"/>
      <c r="H4" s="48"/>
    </row>
    <row r="5" spans="2:8" x14ac:dyDescent="0.25">
      <c r="B5" s="8">
        <v>1</v>
      </c>
      <c r="C5" s="39">
        <v>14</v>
      </c>
      <c r="D5" s="40"/>
      <c r="E5" s="40">
        <v>98</v>
      </c>
      <c r="F5" s="40"/>
      <c r="G5" s="40">
        <v>538</v>
      </c>
      <c r="H5" s="40"/>
    </row>
    <row r="6" spans="2:8" x14ac:dyDescent="0.25">
      <c r="B6" s="6">
        <v>2</v>
      </c>
      <c r="C6" s="29">
        <v>14</v>
      </c>
      <c r="D6" s="30"/>
      <c r="E6" s="30">
        <v>92</v>
      </c>
      <c r="F6" s="30"/>
      <c r="G6" s="30">
        <v>423</v>
      </c>
      <c r="H6" s="30"/>
    </row>
    <row r="7" spans="2:8" x14ac:dyDescent="0.25">
      <c r="B7" s="8">
        <v>3</v>
      </c>
      <c r="C7" s="29">
        <v>14</v>
      </c>
      <c r="D7" s="30"/>
      <c r="E7" s="30">
        <v>103</v>
      </c>
      <c r="F7" s="30"/>
      <c r="G7" s="30">
        <v>436</v>
      </c>
      <c r="H7" s="30"/>
    </row>
    <row r="8" spans="2:8" x14ac:dyDescent="0.25">
      <c r="B8" s="6">
        <v>4</v>
      </c>
      <c r="C8" s="32">
        <v>14</v>
      </c>
      <c r="D8" s="31"/>
      <c r="E8" s="31">
        <v>95</v>
      </c>
      <c r="F8" s="31"/>
      <c r="G8" s="31">
        <v>455</v>
      </c>
      <c r="H8" s="31"/>
    </row>
    <row r="9" spans="2:8" x14ac:dyDescent="0.25">
      <c r="B9" s="8">
        <v>5</v>
      </c>
      <c r="C9" s="32">
        <v>13</v>
      </c>
      <c r="D9" s="31"/>
      <c r="E9" s="31">
        <v>100</v>
      </c>
      <c r="F9" s="31"/>
      <c r="G9" s="31">
        <v>462</v>
      </c>
      <c r="H9" s="31"/>
    </row>
    <row r="10" spans="2:8" x14ac:dyDescent="0.25">
      <c r="B10" s="5"/>
      <c r="C10" s="63">
        <f>AVERAGE(C5:D9)</f>
        <v>13.8</v>
      </c>
      <c r="D10" s="64"/>
      <c r="E10" s="68">
        <f t="shared" ref="E10" si="0">AVERAGE(E5:F9)</f>
        <v>97.6</v>
      </c>
      <c r="F10" s="68"/>
      <c r="G10" s="69">
        <f t="shared" ref="G10" si="1">AVERAGE(G5:H9)</f>
        <v>462.8</v>
      </c>
      <c r="H10" s="70"/>
    </row>
  </sheetData>
  <mergeCells count="22">
    <mergeCell ref="C10:D10"/>
    <mergeCell ref="E10:F10"/>
    <mergeCell ref="G10:H10"/>
    <mergeCell ref="B3:B4"/>
    <mergeCell ref="C3:D4"/>
    <mergeCell ref="E3:F4"/>
    <mergeCell ref="G3:H4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6AD1-4435-4E72-9500-B52A7F094DF6}">
  <dimension ref="B3:H10"/>
  <sheetViews>
    <sheetView workbookViewId="0">
      <selection activeCell="G5" sqref="G5:H9"/>
    </sheetView>
  </sheetViews>
  <sheetFormatPr defaultRowHeight="15" x14ac:dyDescent="0.25"/>
  <cols>
    <col min="2" max="2" width="2" bestFit="1" customWidth="1"/>
    <col min="3" max="3" width="23.5703125" bestFit="1" customWidth="1"/>
    <col min="5" max="5" width="25.140625" bestFit="1" customWidth="1"/>
    <col min="7" max="7" width="22.5703125" bestFit="1" customWidth="1"/>
  </cols>
  <sheetData>
    <row r="3" spans="2:8" ht="15" customHeight="1" x14ac:dyDescent="0.25">
      <c r="B3" s="66"/>
      <c r="C3" s="45" t="s">
        <v>0</v>
      </c>
      <c r="D3" s="42"/>
      <c r="E3" s="41" t="s">
        <v>1</v>
      </c>
      <c r="F3" s="46"/>
      <c r="G3" s="45" t="s">
        <v>2</v>
      </c>
      <c r="H3" s="46"/>
    </row>
    <row r="4" spans="2:8" x14ac:dyDescent="0.25">
      <c r="B4" s="67"/>
      <c r="C4" s="47"/>
      <c r="D4" s="44"/>
      <c r="E4" s="43"/>
      <c r="F4" s="48"/>
      <c r="G4" s="47"/>
      <c r="H4" s="48"/>
    </row>
    <row r="5" spans="2:8" x14ac:dyDescent="0.25">
      <c r="B5" s="8">
        <v>1</v>
      </c>
      <c r="C5" s="39">
        <v>12</v>
      </c>
      <c r="D5" s="40"/>
      <c r="E5" s="40">
        <v>63</v>
      </c>
      <c r="F5" s="40"/>
      <c r="G5" s="40">
        <v>260</v>
      </c>
      <c r="H5" s="40"/>
    </row>
    <row r="6" spans="2:8" x14ac:dyDescent="0.25">
      <c r="B6" s="6">
        <v>2</v>
      </c>
      <c r="C6" s="29">
        <v>12</v>
      </c>
      <c r="D6" s="30"/>
      <c r="E6" s="30">
        <v>63</v>
      </c>
      <c r="F6" s="30"/>
      <c r="G6" s="30">
        <v>248</v>
      </c>
      <c r="H6" s="30"/>
    </row>
    <row r="7" spans="2:8" x14ac:dyDescent="0.25">
      <c r="B7" s="8">
        <v>3</v>
      </c>
      <c r="C7" s="29">
        <v>12</v>
      </c>
      <c r="D7" s="30"/>
      <c r="E7" s="30">
        <v>61</v>
      </c>
      <c r="F7" s="30"/>
      <c r="G7" s="30">
        <v>253</v>
      </c>
      <c r="H7" s="30"/>
    </row>
    <row r="8" spans="2:8" x14ac:dyDescent="0.25">
      <c r="B8" s="6">
        <v>4</v>
      </c>
      <c r="C8" s="32">
        <v>12</v>
      </c>
      <c r="D8" s="31"/>
      <c r="E8" s="31">
        <v>58</v>
      </c>
      <c r="F8" s="31"/>
      <c r="G8" s="31">
        <v>259</v>
      </c>
      <c r="H8" s="31"/>
    </row>
    <row r="9" spans="2:8" x14ac:dyDescent="0.25">
      <c r="B9" s="8">
        <v>5</v>
      </c>
      <c r="C9" s="32">
        <v>12</v>
      </c>
      <c r="D9" s="31"/>
      <c r="E9" s="31">
        <v>60</v>
      </c>
      <c r="F9" s="31"/>
      <c r="G9" s="31">
        <v>276</v>
      </c>
      <c r="H9" s="31"/>
    </row>
    <row r="10" spans="2:8" x14ac:dyDescent="0.25">
      <c r="B10" s="5"/>
      <c r="C10" s="61">
        <f>AVERAGE(C5:D9)</f>
        <v>12</v>
      </c>
      <c r="D10" s="65"/>
      <c r="E10" s="61">
        <f t="shared" ref="E10" si="0">AVERAGE(E5:F9)</f>
        <v>61</v>
      </c>
      <c r="F10" s="65"/>
      <c r="G10" s="61">
        <f t="shared" ref="G10" si="1">AVERAGE(G5:H9)</f>
        <v>259.2</v>
      </c>
      <c r="H10" s="65"/>
    </row>
  </sheetData>
  <mergeCells count="22">
    <mergeCell ref="C10:D10"/>
    <mergeCell ref="E10:F10"/>
    <mergeCell ref="G10:H10"/>
    <mergeCell ref="B3:B4"/>
    <mergeCell ref="C3:D4"/>
    <mergeCell ref="E3:F4"/>
    <mergeCell ref="G3:H4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E035-1077-4CCB-A04C-9D635432B4B5}">
  <dimension ref="K1:R55"/>
  <sheetViews>
    <sheetView zoomScale="78" workbookViewId="0">
      <selection activeCell="K55" activeCellId="2" sqref="K8 K32 K55"/>
    </sheetView>
  </sheetViews>
  <sheetFormatPr defaultRowHeight="15" x14ac:dyDescent="0.25"/>
  <cols>
    <col min="12" max="12" width="12.85546875" bestFit="1" customWidth="1"/>
    <col min="13" max="13" width="13.42578125" bestFit="1" customWidth="1"/>
    <col min="14" max="14" width="11" bestFit="1" customWidth="1"/>
    <col min="15" max="15" width="10.28515625" bestFit="1" customWidth="1"/>
    <col min="16" max="16" width="9.42578125" bestFit="1" customWidth="1"/>
    <col min="17" max="17" width="9.85546875" bestFit="1" customWidth="1"/>
  </cols>
  <sheetData>
    <row r="1" spans="11:17" ht="15.75" thickBot="1" x14ac:dyDescent="0.3"/>
    <row r="2" spans="11:17" ht="15.75" thickBot="1" x14ac:dyDescent="0.3">
      <c r="K2" s="71"/>
      <c r="L2" s="63" t="s">
        <v>10</v>
      </c>
      <c r="M2" s="73"/>
      <c r="N2" s="73"/>
      <c r="O2" s="73"/>
      <c r="P2" s="73"/>
      <c r="Q2" s="64"/>
    </row>
    <row r="3" spans="11:17" ht="15.75" thickBot="1" x14ac:dyDescent="0.3">
      <c r="K3" s="72"/>
      <c r="L3" s="12" t="s">
        <v>3</v>
      </c>
      <c r="M3" s="13" t="s">
        <v>5</v>
      </c>
      <c r="N3" s="12" t="s">
        <v>6</v>
      </c>
      <c r="O3" s="12" t="s">
        <v>7</v>
      </c>
      <c r="P3" s="12" t="s">
        <v>8</v>
      </c>
      <c r="Q3" s="12" t="s">
        <v>9</v>
      </c>
    </row>
    <row r="4" spans="11:17" ht="15.75" thickBot="1" x14ac:dyDescent="0.3">
      <c r="K4" s="8">
        <v>1</v>
      </c>
      <c r="L4" s="16">
        <v>1142</v>
      </c>
      <c r="M4" s="16">
        <v>2066</v>
      </c>
      <c r="N4" s="16">
        <v>10776</v>
      </c>
      <c r="O4" s="16">
        <v>12</v>
      </c>
      <c r="P4" s="16">
        <v>14</v>
      </c>
      <c r="Q4" s="17">
        <v>12</v>
      </c>
    </row>
    <row r="5" spans="11:17" ht="15.75" thickBot="1" x14ac:dyDescent="0.3">
      <c r="K5" s="6">
        <v>2</v>
      </c>
      <c r="L5" s="18">
        <v>1101</v>
      </c>
      <c r="M5" s="18">
        <v>2275</v>
      </c>
      <c r="N5" s="18">
        <v>10684</v>
      </c>
      <c r="O5" s="18">
        <v>16</v>
      </c>
      <c r="P5" s="18">
        <v>14</v>
      </c>
      <c r="Q5" s="19">
        <v>12</v>
      </c>
    </row>
    <row r="6" spans="11:17" ht="15.75" thickBot="1" x14ac:dyDescent="0.3">
      <c r="K6" s="8">
        <v>3</v>
      </c>
      <c r="L6" s="18">
        <v>1151</v>
      </c>
      <c r="M6" s="18">
        <v>2123</v>
      </c>
      <c r="N6" s="18">
        <v>10753</v>
      </c>
      <c r="O6" s="18">
        <v>18</v>
      </c>
      <c r="P6" s="18">
        <v>14</v>
      </c>
      <c r="Q6" s="19">
        <v>12</v>
      </c>
    </row>
    <row r="7" spans="11:17" ht="15.75" thickBot="1" x14ac:dyDescent="0.3">
      <c r="K7" s="7">
        <v>4</v>
      </c>
      <c r="L7" s="14">
        <v>1146</v>
      </c>
      <c r="M7" s="14">
        <v>2167</v>
      </c>
      <c r="N7" s="14">
        <v>10835</v>
      </c>
      <c r="O7" s="14">
        <v>16</v>
      </c>
      <c r="P7" s="14">
        <v>14</v>
      </c>
      <c r="Q7" s="15">
        <v>12</v>
      </c>
    </row>
    <row r="8" spans="11:17" ht="15.75" thickBot="1" x14ac:dyDescent="0.3">
      <c r="K8" s="12">
        <v>5</v>
      </c>
      <c r="L8" s="27">
        <v>1168</v>
      </c>
      <c r="M8" s="20">
        <v>2108</v>
      </c>
      <c r="N8" s="20">
        <v>10942</v>
      </c>
      <c r="O8" s="20">
        <v>15</v>
      </c>
      <c r="P8" s="20">
        <v>13</v>
      </c>
      <c r="Q8" s="20">
        <v>12</v>
      </c>
    </row>
    <row r="25" spans="11:17" ht="15.75" thickBot="1" x14ac:dyDescent="0.3"/>
    <row r="26" spans="11:17" ht="15.75" thickBot="1" x14ac:dyDescent="0.3">
      <c r="K26" s="71"/>
      <c r="L26" s="63" t="s">
        <v>11</v>
      </c>
      <c r="M26" s="73"/>
      <c r="N26" s="73"/>
      <c r="O26" s="73"/>
      <c r="P26" s="73"/>
      <c r="Q26" s="64"/>
    </row>
    <row r="27" spans="11:17" ht="15.75" thickBot="1" x14ac:dyDescent="0.3">
      <c r="K27" s="72"/>
      <c r="L27" s="12" t="s">
        <v>3</v>
      </c>
      <c r="M27" s="13" t="s">
        <v>5</v>
      </c>
      <c r="N27" s="12" t="s">
        <v>6</v>
      </c>
      <c r="O27" s="12" t="s">
        <v>7</v>
      </c>
      <c r="P27" s="12" t="s">
        <v>8</v>
      </c>
      <c r="Q27" s="12" t="s">
        <v>9</v>
      </c>
    </row>
    <row r="28" spans="11:17" ht="15.75" thickBot="1" x14ac:dyDescent="0.3">
      <c r="K28" s="8">
        <v>1</v>
      </c>
      <c r="L28" s="17">
        <v>101024</v>
      </c>
      <c r="M28" s="17">
        <v>78525</v>
      </c>
      <c r="N28" s="17">
        <v>639875</v>
      </c>
      <c r="O28" s="17">
        <v>74</v>
      </c>
      <c r="P28" s="17">
        <v>98</v>
      </c>
      <c r="Q28" s="17">
        <v>63</v>
      </c>
    </row>
    <row r="29" spans="11:17" ht="15.75" thickBot="1" x14ac:dyDescent="0.3">
      <c r="K29" s="6">
        <v>2</v>
      </c>
      <c r="L29" s="19">
        <v>73327</v>
      </c>
      <c r="M29" s="19">
        <v>77750</v>
      </c>
      <c r="N29" s="17">
        <v>754163</v>
      </c>
      <c r="O29" s="19">
        <v>105</v>
      </c>
      <c r="P29" s="19">
        <v>92</v>
      </c>
      <c r="Q29" s="19">
        <v>63</v>
      </c>
    </row>
    <row r="30" spans="11:17" ht="15.75" thickBot="1" x14ac:dyDescent="0.3">
      <c r="K30" s="8">
        <v>3</v>
      </c>
      <c r="L30" s="19">
        <v>67644</v>
      </c>
      <c r="M30" s="19">
        <v>71755</v>
      </c>
      <c r="N30" s="17">
        <v>612154</v>
      </c>
      <c r="O30" s="19">
        <v>101</v>
      </c>
      <c r="P30" s="19">
        <v>103</v>
      </c>
      <c r="Q30" s="19">
        <v>61</v>
      </c>
    </row>
    <row r="31" spans="11:17" ht="15.75" thickBot="1" x14ac:dyDescent="0.3">
      <c r="K31" s="7">
        <v>4</v>
      </c>
      <c r="L31" s="15">
        <v>69669</v>
      </c>
      <c r="M31" s="15">
        <v>87609</v>
      </c>
      <c r="N31" s="21">
        <v>639438</v>
      </c>
      <c r="O31" s="15">
        <v>105</v>
      </c>
      <c r="P31" s="15">
        <v>95</v>
      </c>
      <c r="Q31" s="15">
        <v>58</v>
      </c>
    </row>
    <row r="32" spans="11:17" ht="15.75" thickBot="1" x14ac:dyDescent="0.3">
      <c r="K32" s="12">
        <v>5</v>
      </c>
      <c r="L32" s="27">
        <v>70409</v>
      </c>
      <c r="M32" s="20">
        <v>123558</v>
      </c>
      <c r="N32" s="20">
        <v>731132</v>
      </c>
      <c r="O32" s="20">
        <v>101</v>
      </c>
      <c r="P32" s="20">
        <v>100</v>
      </c>
      <c r="Q32" s="20">
        <v>60</v>
      </c>
    </row>
    <row r="48" ht="15.75" thickBot="1" x14ac:dyDescent="0.3"/>
    <row r="49" spans="11:18" ht="15.75" thickBot="1" x14ac:dyDescent="0.3">
      <c r="K49" s="71"/>
      <c r="L49" s="63" t="s">
        <v>12</v>
      </c>
      <c r="M49" s="73"/>
      <c r="N49" s="73"/>
      <c r="O49" s="73"/>
      <c r="P49" s="73"/>
      <c r="Q49" s="64"/>
    </row>
    <row r="50" spans="11:18" ht="15.75" thickBot="1" x14ac:dyDescent="0.3">
      <c r="K50" s="72"/>
      <c r="L50" s="12" t="s">
        <v>3</v>
      </c>
      <c r="M50" s="13" t="s">
        <v>5</v>
      </c>
      <c r="N50" s="12" t="s">
        <v>6</v>
      </c>
      <c r="O50" s="12" t="s">
        <v>7</v>
      </c>
      <c r="P50" s="12" t="s">
        <v>8</v>
      </c>
      <c r="Q50" s="12" t="s">
        <v>9</v>
      </c>
    </row>
    <row r="51" spans="11:18" ht="15.75" thickBot="1" x14ac:dyDescent="0.3">
      <c r="K51" s="8">
        <v>1</v>
      </c>
      <c r="L51" s="17">
        <v>393328</v>
      </c>
      <c r="M51" s="17">
        <v>1332837</v>
      </c>
      <c r="N51" s="17">
        <v>9443752</v>
      </c>
      <c r="O51" s="17">
        <v>303</v>
      </c>
      <c r="P51" s="17">
        <v>538</v>
      </c>
      <c r="Q51" s="23">
        <v>260</v>
      </c>
      <c r="R51" s="25"/>
    </row>
    <row r="52" spans="11:18" ht="15.75" thickBot="1" x14ac:dyDescent="0.3">
      <c r="K52" s="6">
        <v>2</v>
      </c>
      <c r="L52" s="19">
        <v>387522</v>
      </c>
      <c r="M52" s="17">
        <v>1319535</v>
      </c>
      <c r="N52" s="19">
        <v>9446453</v>
      </c>
      <c r="O52" s="19">
        <v>467</v>
      </c>
      <c r="P52" s="19">
        <v>423</v>
      </c>
      <c r="Q52" s="24">
        <v>248</v>
      </c>
      <c r="R52" s="25"/>
    </row>
    <row r="53" spans="11:18" ht="15.75" thickBot="1" x14ac:dyDescent="0.3">
      <c r="K53" s="8">
        <v>3</v>
      </c>
      <c r="L53" s="19">
        <v>395238</v>
      </c>
      <c r="M53" s="17">
        <v>1365814</v>
      </c>
      <c r="N53" s="19">
        <v>9543875</v>
      </c>
      <c r="O53" s="19">
        <v>381</v>
      </c>
      <c r="P53" s="19">
        <v>436</v>
      </c>
      <c r="Q53" s="24">
        <v>253</v>
      </c>
      <c r="R53" s="25"/>
    </row>
    <row r="54" spans="11:18" ht="15.75" thickBot="1" x14ac:dyDescent="0.3">
      <c r="K54" s="7">
        <v>4</v>
      </c>
      <c r="L54" s="15">
        <v>358893</v>
      </c>
      <c r="M54" s="21">
        <v>1325638</v>
      </c>
      <c r="N54" s="15">
        <v>9439872</v>
      </c>
      <c r="O54" s="15">
        <v>396</v>
      </c>
      <c r="P54" s="15">
        <v>455</v>
      </c>
      <c r="Q54" s="22">
        <v>259</v>
      </c>
      <c r="R54" s="25"/>
    </row>
    <row r="55" spans="11:18" ht="15.75" thickBot="1" x14ac:dyDescent="0.3">
      <c r="K55" s="12">
        <v>5</v>
      </c>
      <c r="L55" s="27">
        <v>380514</v>
      </c>
      <c r="M55" s="20">
        <v>1346125</v>
      </c>
      <c r="N55" s="20">
        <v>9354867</v>
      </c>
      <c r="O55" s="20">
        <v>382</v>
      </c>
      <c r="P55" s="20">
        <v>462</v>
      </c>
      <c r="Q55" s="26">
        <v>276</v>
      </c>
      <c r="R55" s="25"/>
    </row>
  </sheetData>
  <mergeCells count="6">
    <mergeCell ref="K49:K50"/>
    <mergeCell ref="L49:Q49"/>
    <mergeCell ref="K26:K27"/>
    <mergeCell ref="L26:Q26"/>
    <mergeCell ref="K2:K3"/>
    <mergeCell ref="L2:Q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InsertionSort</vt:lpstr>
      <vt:lpstr>SelectionSort</vt:lpstr>
      <vt:lpstr>BubbleSort</vt:lpstr>
      <vt:lpstr>MergeSort</vt:lpstr>
      <vt:lpstr>HeapSort</vt:lpstr>
      <vt:lpstr>QuickSort</vt:lpstr>
      <vt:lpstr>Comparacion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Adrianna Cerna</dc:creator>
  <cp:keywords/>
  <dc:description/>
  <cp:lastModifiedBy>Adrianna Cerna</cp:lastModifiedBy>
  <cp:revision/>
  <dcterms:created xsi:type="dcterms:W3CDTF">2025-11-21T19:35:26Z</dcterms:created>
  <dcterms:modified xsi:type="dcterms:W3CDTF">2025-11-22T08:42:26Z</dcterms:modified>
  <cp:category/>
  <cp:contentStatus/>
</cp:coreProperties>
</file>